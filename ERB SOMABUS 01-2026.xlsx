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Feuil1" sheetId="1" r:id="rId1"/>
    <sheet name="Feuil2" sheetId="2" r:id="rId2"/>
    <sheet name="Feuil3" sheetId="3" r:id="rId3"/>
  </sheets>
  <calcPr calcId="144525"/>
</workbook>
</file>

<file path=xl/calcChain.xml><?xml version="1.0" encoding="utf-8"?>
<calcChain xmlns="http://schemas.openxmlformats.org/spreadsheetml/2006/main">
  <c r="J83" i="1" l="1"/>
  <c r="I84" i="1" s="1"/>
  <c r="I83" i="1"/>
  <c r="E83" i="1"/>
  <c r="D83" i="1"/>
  <c r="D84" i="1" s="1"/>
  <c r="G85" i="1" l="1"/>
</calcChain>
</file>

<file path=xl/sharedStrings.xml><?xml version="1.0" encoding="utf-8"?>
<sst xmlns="http://schemas.openxmlformats.org/spreadsheetml/2006/main" count="113" uniqueCount="97">
  <si>
    <t>S0MABUS</t>
  </si>
  <si>
    <t>ERB BMCI MOIS 01/2026</t>
  </si>
  <si>
    <t xml:space="preserve">            OPERATION NON ENREGISTREES PAR LA SOCIETE</t>
  </si>
  <si>
    <t xml:space="preserve">                        OPERATION NON ENREGISTREES PAR LA BANQUE</t>
  </si>
  <si>
    <t>dates</t>
  </si>
  <si>
    <t>libelles</t>
  </si>
  <si>
    <t>débit</t>
  </si>
  <si>
    <t>crédit</t>
  </si>
  <si>
    <t xml:space="preserve">      solde comptable au 31/01/2026</t>
  </si>
  <si>
    <t>solde bancaire  au 31/01/2026</t>
  </si>
  <si>
    <t>CHQ 1195230 ESR</t>
  </si>
  <si>
    <t>CHQ 1195233 INTERIM CASA</t>
  </si>
  <si>
    <t xml:space="preserve"> Paiement TSAV GLOB COMIS 1 VIGNETT</t>
  </si>
  <si>
    <t>CHQ 1195229 ESPACE SERVICE RAPIDE</t>
  </si>
  <si>
    <t xml:space="preserve"> CHEQUE N 1195182 </t>
  </si>
  <si>
    <t>CHQ 1014874 ESPACE SERVICE RAPIDE</t>
  </si>
  <si>
    <t xml:space="preserve"> CHEQUE N 1195258 </t>
  </si>
  <si>
    <t>CHQ 1195196 FABRINOV</t>
  </si>
  <si>
    <t xml:space="preserve"> TVA sur Agios au 31 12 25</t>
  </si>
  <si>
    <t xml:space="preserve"> PRLV STE ITISSALAT AL MAGHRIB </t>
  </si>
  <si>
    <t>CHQ 1195188 MASTER REMORQUE</t>
  </si>
  <si>
    <t>ch1117185</t>
  </si>
  <si>
    <t xml:space="preserve"> LCC2500985IUC2500696Util LcImp</t>
  </si>
  <si>
    <t>CHQ 1195249 AB REALISATION</t>
  </si>
  <si>
    <t xml:space="preserve"> Agios a Payer au 31 12 25</t>
  </si>
  <si>
    <t>CHQ 1117194 DISGAL</t>
  </si>
  <si>
    <t xml:space="preserve"> LCC2600117Ouv LC imp </t>
  </si>
  <si>
    <t>CHQ 0544910 SALAIRE /BOUHOUCH MOHAMED</t>
  </si>
  <si>
    <t xml:space="preserve"> VIRT EMIS SEFAMAR </t>
  </si>
  <si>
    <t>CHQ 1014929 INDUSTRIE ANTARIA</t>
  </si>
  <si>
    <t xml:space="preserve"> PRLV CNSS GESTION </t>
  </si>
  <si>
    <t>CHQ 0544904 FADIPAC</t>
  </si>
  <si>
    <t xml:space="preserve">CHEQUE N 1117121 </t>
  </si>
  <si>
    <t>CHQ 1195265 AFRIQUE CABLES</t>
  </si>
  <si>
    <t xml:space="preserve">RET IMPAYES CHQ 0231551 </t>
  </si>
  <si>
    <t>CHQ 1195268 CAPCI</t>
  </si>
  <si>
    <t xml:space="preserve">22330961 OUT SETKCASSOMABUS </t>
  </si>
  <si>
    <t>CHQ 0544912 TRANSIT MULTISERVICES</t>
  </si>
  <si>
    <t xml:space="preserve"> 22341519 OUT SETKCASSOMABUS </t>
  </si>
  <si>
    <t>CHQ 1195267 ESPACE SERVICE RAPIDE</t>
  </si>
  <si>
    <t xml:space="preserve"> VIRT EMIS SOMABUS </t>
  </si>
  <si>
    <t>CHQ 0464586 INDUSTRIE ANTARIA</t>
  </si>
  <si>
    <t xml:space="preserve">  VIRT RECU </t>
  </si>
  <si>
    <t>CHQ 1117200 FENASSI</t>
  </si>
  <si>
    <t xml:space="preserve">REMISE 000093310   CHQ 0231551 </t>
  </si>
  <si>
    <t>CHQ 0544906 MUKER TRAVEL</t>
  </si>
  <si>
    <t xml:space="preserve">VIRT RECU VIVALIS SALAF </t>
  </si>
  <si>
    <t>CHQ 1117186 FLEXI AUTO</t>
  </si>
  <si>
    <t>CHQ 1195253 EMDA</t>
  </si>
  <si>
    <t xml:space="preserve"> REMISE 000093177   CHQ 6924659 </t>
  </si>
  <si>
    <t>CHQ 1117192 RAOUF NEGOCE</t>
  </si>
  <si>
    <t xml:space="preserve"> REMISE 000093448   CHQ 2100169 </t>
  </si>
  <si>
    <t>CHQ 1117195 ORY INDUSTRIE</t>
  </si>
  <si>
    <t xml:space="preserve"> REMISE 000093208   CHQ 0813012 </t>
  </si>
  <si>
    <t>CHQ 1195266 DOSCAR</t>
  </si>
  <si>
    <t xml:space="preserve">REMISE 000093440   CHQ 0391631 </t>
  </si>
  <si>
    <t>CHQ 1117196 BOBINAGE BOUSSAIRI</t>
  </si>
  <si>
    <t xml:space="preserve"> RGL LCN 00000474932740342 </t>
  </si>
  <si>
    <t>CHQ 1117198 CAPCI</t>
  </si>
  <si>
    <t xml:space="preserve">REMISE 000008875   CHQ 0565982 </t>
  </si>
  <si>
    <t>CHQ 0544924 SANIKEL CAR</t>
  </si>
  <si>
    <t xml:space="preserve"> RGL LCN 00000474933104395 </t>
  </si>
  <si>
    <t>CHQ 0480298 FADIPAC</t>
  </si>
  <si>
    <t xml:space="preserve">VIRT RECU SLKR TRANS SARL </t>
  </si>
  <si>
    <t>CHQ 1117187 GALAXIE PEICES</t>
  </si>
  <si>
    <t xml:space="preserve"> RGL LCN 00000474938259564 </t>
  </si>
  <si>
    <t>CHQ 1289055 NOUTRANS</t>
  </si>
  <si>
    <t xml:space="preserve"> REMISE 000008875   CHQ 7285611 </t>
  </si>
  <si>
    <t>CHQ N°1195176 PROTECH WORKS</t>
  </si>
  <si>
    <t xml:space="preserve"> RGL LCN 00000474931412047</t>
  </si>
  <si>
    <t>CHQ 1117199 EGLOFFE</t>
  </si>
  <si>
    <t>CHQ 1195241 ASSURANCE TRANSASSUR</t>
  </si>
  <si>
    <t xml:space="preserve">RGL LCN 00000156862782435 </t>
  </si>
  <si>
    <t>CHQ N°1195183 CHIBOUKH TRANS</t>
  </si>
  <si>
    <t xml:space="preserve"> REMISE 000093440   CHQ 1800136</t>
  </si>
  <si>
    <t>CHQ 1195262 SEFACAR</t>
  </si>
  <si>
    <t xml:space="preserve"> REMISE 000093340   CHQ 6096702 </t>
  </si>
  <si>
    <t>CHQ 1195275 AFRIQUIA LUBRIFIANTS MAROC</t>
  </si>
  <si>
    <t xml:space="preserve"> Versement Especes 1231 005459447 </t>
  </si>
  <si>
    <t xml:space="preserve">Versement Especes </t>
  </si>
  <si>
    <t>REMISE</t>
  </si>
  <si>
    <t xml:space="preserve"> Versement Especes</t>
  </si>
  <si>
    <t>ENCT TRT 23/12/25 BS TOURS</t>
  </si>
  <si>
    <t xml:space="preserve">RGL LCN 00000478250381133 </t>
  </si>
  <si>
    <t xml:space="preserve"> Versement Especes </t>
  </si>
  <si>
    <t xml:space="preserve"> RGL LCN 00000156862600635 </t>
  </si>
  <si>
    <t>REMISE 000040424   CHQ 2100068</t>
  </si>
  <si>
    <t>VER;ESP</t>
  </si>
  <si>
    <t>VER.ES</t>
  </si>
  <si>
    <t xml:space="preserve"> RGL LCN 00000474938214329 </t>
  </si>
  <si>
    <t xml:space="preserve"> RGL LCN 00000474932740341 </t>
  </si>
  <si>
    <t xml:space="preserve">RGL LCN 00000474932740344 </t>
  </si>
  <si>
    <t xml:space="preserve"> RGL LCN 00000474932740343</t>
  </si>
  <si>
    <t xml:space="preserve">REMISE 000008875   CHQ 6983592 </t>
  </si>
  <si>
    <t>Totaux</t>
  </si>
  <si>
    <t xml:space="preserve">                             </t>
  </si>
  <si>
    <t>Solde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</si>
</sst>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D_H_-;\-* #,##0.00\ _D_H_-;_-* &quot;-&quot;??\ _D_H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Font="1"/>
    <xf numFmtId="0" fontId="3" fillId="0" borderId="1" xfId="0" applyFont="1" applyFill="1" applyBorder="1"/>
    <xf numFmtId="0" fontId="0" fillId="0" borderId="0" xfId="0" applyFont="1" applyFill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5" xfId="0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43" fontId="0" fillId="0" borderId="0" xfId="1" applyFont="1"/>
    <xf numFmtId="43" fontId="0" fillId="0" borderId="5" xfId="1" applyFont="1" applyBorder="1"/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/>
    <xf numFmtId="43" fontId="0" fillId="0" borderId="5" xfId="1" applyFont="1" applyFill="1" applyBorder="1"/>
    <xf numFmtId="14" fontId="0" fillId="0" borderId="5" xfId="0" applyNumberFormat="1" applyFont="1" applyBorder="1"/>
    <xf numFmtId="49" fontId="0" fillId="0" borderId="5" xfId="0" applyNumberFormat="1" applyFont="1" applyBorder="1"/>
    <xf numFmtId="14" fontId="0" fillId="0" borderId="5" xfId="0" applyNumberFormat="1" applyFont="1" applyFill="1" applyBorder="1" applyAlignment="1">
      <alignment horizontal="center"/>
    </xf>
    <xf numFmtId="0" fontId="0" fillId="0" borderId="5" xfId="0" applyFont="1" applyFill="1" applyBorder="1"/>
    <xf numFmtId="14" fontId="0" fillId="0" borderId="5" xfId="0" applyNumberFormat="1" applyFont="1" applyFill="1" applyBorder="1"/>
    <xf numFmtId="49" fontId="0" fillId="0" borderId="5" xfId="0" applyNumberFormat="1" applyFont="1" applyFill="1" applyBorder="1"/>
    <xf numFmtId="4" fontId="0" fillId="0" borderId="5" xfId="0" applyNumberFormat="1" applyFont="1" applyFill="1" applyBorder="1"/>
    <xf numFmtId="43" fontId="4" fillId="0" borderId="5" xfId="1" applyFont="1" applyFill="1" applyBorder="1"/>
    <xf numFmtId="4" fontId="0" fillId="0" borderId="5" xfId="0" applyNumberFormat="1" applyFont="1" applyBorder="1"/>
    <xf numFmtId="43" fontId="2" fillId="0" borderId="5" xfId="1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/>
    </xf>
    <xf numFmtId="0" fontId="0" fillId="0" borderId="6" xfId="0" applyFont="1" applyFill="1" applyBorder="1"/>
    <xf numFmtId="43" fontId="0" fillId="0" borderId="6" xfId="1" applyFont="1" applyFill="1" applyBorder="1"/>
    <xf numFmtId="43" fontId="0" fillId="0" borderId="6" xfId="1" applyFont="1" applyBorder="1"/>
    <xf numFmtId="43" fontId="2" fillId="0" borderId="6" xfId="1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43" fontId="0" fillId="0" borderId="7" xfId="1" applyFont="1" applyBorder="1"/>
    <xf numFmtId="43" fontId="2" fillId="0" borderId="7" xfId="1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5"/>
  <sheetViews>
    <sheetView tabSelected="1" topLeftCell="A46" workbookViewId="0">
      <selection activeCell="B2" sqref="B2:J85"/>
    </sheetView>
  </sheetViews>
  <sheetFormatPr baseColWidth="10" defaultRowHeight="15" x14ac:dyDescent="0.25"/>
  <cols>
    <col min="2" max="2" width="11.5703125" customWidth="1"/>
    <col min="3" max="3" width="36.42578125" bestFit="1" customWidth="1"/>
    <col min="4" max="5" width="17.28515625" bestFit="1" customWidth="1"/>
    <col min="6" max="6" width="1.42578125" customWidth="1"/>
    <col min="7" max="7" width="11.5703125" bestFit="1" customWidth="1"/>
    <col min="8" max="8" width="42.42578125" bestFit="1" customWidth="1"/>
    <col min="9" max="9" width="16.28515625" bestFit="1" customWidth="1"/>
    <col min="10" max="10" width="17.28515625" bestFit="1" customWidth="1"/>
  </cols>
  <sheetData>
    <row r="1" spans="2:10" ht="15.75" thickBot="1" x14ac:dyDescent="0.3"/>
    <row r="2" spans="2:10" ht="15.75" thickBot="1" x14ac:dyDescent="0.3">
      <c r="B2" s="1"/>
      <c r="C2" s="2" t="s">
        <v>0</v>
      </c>
      <c r="D2" s="3"/>
      <c r="E2" s="4" t="s">
        <v>1</v>
      </c>
      <c r="F2" s="5"/>
      <c r="G2" s="6"/>
      <c r="H2" s="3"/>
      <c r="I2" s="3"/>
      <c r="J2" s="3"/>
    </row>
    <row r="3" spans="2:10" x14ac:dyDescent="0.25">
      <c r="B3" s="3"/>
      <c r="C3" s="3"/>
      <c r="D3" s="3"/>
      <c r="E3" s="7"/>
      <c r="F3" s="7"/>
      <c r="G3" s="7"/>
      <c r="H3" s="3"/>
      <c r="I3" s="3"/>
      <c r="J3" s="3"/>
    </row>
    <row r="4" spans="2:10" x14ac:dyDescent="0.25">
      <c r="B4" s="8"/>
      <c r="C4" s="3"/>
      <c r="D4" s="3"/>
      <c r="E4" s="3"/>
      <c r="F4" s="3"/>
      <c r="G4" s="8"/>
      <c r="H4" s="8"/>
      <c r="I4" s="3"/>
      <c r="J4" s="3"/>
    </row>
    <row r="5" spans="2:10" x14ac:dyDescent="0.25">
      <c r="B5" s="9" t="s">
        <v>2</v>
      </c>
      <c r="C5" s="9"/>
      <c r="D5" s="9"/>
      <c r="E5" s="9"/>
      <c r="F5" s="10"/>
      <c r="G5" s="11" t="s">
        <v>3</v>
      </c>
      <c r="H5" s="11"/>
      <c r="I5" s="11"/>
      <c r="J5" s="11"/>
    </row>
    <row r="6" spans="2:10" x14ac:dyDescent="0.25">
      <c r="B6" s="12" t="s">
        <v>4</v>
      </c>
      <c r="C6" s="12" t="s">
        <v>5</v>
      </c>
      <c r="D6" s="13" t="s">
        <v>6</v>
      </c>
      <c r="E6" s="13" t="s">
        <v>7</v>
      </c>
      <c r="F6" s="10"/>
      <c r="G6" s="13" t="s">
        <v>4</v>
      </c>
      <c r="H6" s="13" t="s">
        <v>5</v>
      </c>
      <c r="I6" s="13" t="s">
        <v>6</v>
      </c>
      <c r="J6" s="13" t="s">
        <v>7</v>
      </c>
    </row>
    <row r="7" spans="2:10" x14ac:dyDescent="0.25">
      <c r="B7" s="9" t="s">
        <v>8</v>
      </c>
      <c r="C7" s="9"/>
      <c r="D7" s="14">
        <v>28783773.469999999</v>
      </c>
      <c r="E7" s="15"/>
      <c r="F7" s="10"/>
      <c r="G7" s="11" t="s">
        <v>9</v>
      </c>
      <c r="H7" s="11"/>
      <c r="I7" s="15"/>
      <c r="J7" s="15">
        <v>6142122.1299999999</v>
      </c>
    </row>
    <row r="8" spans="2:10" x14ac:dyDescent="0.25">
      <c r="B8" s="16"/>
      <c r="C8" s="17"/>
      <c r="D8" s="15"/>
      <c r="E8" s="18"/>
      <c r="F8" s="10"/>
      <c r="G8" s="19">
        <v>46015</v>
      </c>
      <c r="H8" s="20" t="s">
        <v>10</v>
      </c>
      <c r="I8" s="15">
        <v>20760</v>
      </c>
      <c r="J8" s="13"/>
    </row>
    <row r="9" spans="2:10" x14ac:dyDescent="0.25">
      <c r="B9" s="16"/>
      <c r="C9" s="17"/>
      <c r="D9" s="15"/>
      <c r="E9" s="18"/>
      <c r="F9" s="10"/>
      <c r="G9" s="19">
        <v>46020</v>
      </c>
      <c r="H9" s="20" t="s">
        <v>11</v>
      </c>
      <c r="I9" s="15">
        <v>5282.66</v>
      </c>
      <c r="J9" s="15"/>
    </row>
    <row r="10" spans="2:10" x14ac:dyDescent="0.25">
      <c r="B10" s="16">
        <v>46037</v>
      </c>
      <c r="C10" s="17" t="s">
        <v>12</v>
      </c>
      <c r="D10" s="15"/>
      <c r="E10" s="18">
        <v>700</v>
      </c>
      <c r="F10" s="10"/>
      <c r="G10" s="19">
        <v>46015</v>
      </c>
      <c r="H10" s="20" t="s">
        <v>13</v>
      </c>
      <c r="I10" s="15">
        <v>3960</v>
      </c>
      <c r="J10" s="15"/>
    </row>
    <row r="11" spans="2:10" x14ac:dyDescent="0.25">
      <c r="B11" s="16">
        <v>46049</v>
      </c>
      <c r="C11" s="17" t="s">
        <v>14</v>
      </c>
      <c r="D11" s="15"/>
      <c r="E11" s="18">
        <v>3204</v>
      </c>
      <c r="F11" s="10"/>
      <c r="G11" s="19">
        <v>46008</v>
      </c>
      <c r="H11" s="20" t="s">
        <v>15</v>
      </c>
      <c r="I11" s="15">
        <v>3063.07</v>
      </c>
      <c r="J11" s="15"/>
    </row>
    <row r="12" spans="2:10" x14ac:dyDescent="0.25">
      <c r="B12" s="21">
        <v>46049</v>
      </c>
      <c r="C12" s="22" t="s">
        <v>16</v>
      </c>
      <c r="D12" s="15"/>
      <c r="E12" s="18">
        <v>3900</v>
      </c>
      <c r="F12" s="10"/>
      <c r="G12" s="19">
        <v>46022</v>
      </c>
      <c r="H12" s="20" t="s">
        <v>17</v>
      </c>
      <c r="I12" s="15">
        <v>232000</v>
      </c>
      <c r="J12" s="15"/>
    </row>
    <row r="13" spans="2:10" x14ac:dyDescent="0.25">
      <c r="B13" s="21">
        <v>46022</v>
      </c>
      <c r="C13" s="22" t="s">
        <v>18</v>
      </c>
      <c r="D13" s="15"/>
      <c r="E13" s="18">
        <v>3998.99</v>
      </c>
      <c r="F13" s="10"/>
      <c r="G13" s="19">
        <v>46022</v>
      </c>
      <c r="H13" s="20" t="s">
        <v>17</v>
      </c>
      <c r="I13" s="15">
        <v>768000</v>
      </c>
      <c r="J13" s="15"/>
    </row>
    <row r="14" spans="2:10" x14ac:dyDescent="0.25">
      <c r="B14" s="21">
        <v>46049</v>
      </c>
      <c r="C14" s="22" t="s">
        <v>19</v>
      </c>
      <c r="D14" s="15"/>
      <c r="E14" s="18">
        <v>4598.26</v>
      </c>
      <c r="F14" s="10"/>
      <c r="G14" s="19">
        <v>46022</v>
      </c>
      <c r="H14" s="20" t="s">
        <v>20</v>
      </c>
      <c r="I14" s="15">
        <v>1200000</v>
      </c>
      <c r="J14" s="15"/>
    </row>
    <row r="15" spans="2:10" x14ac:dyDescent="0.25">
      <c r="B15" s="21"/>
      <c r="C15" s="22" t="s">
        <v>21</v>
      </c>
      <c r="D15" s="15"/>
      <c r="E15" s="18">
        <v>8711.36</v>
      </c>
      <c r="F15" s="10"/>
      <c r="G15" s="23"/>
      <c r="H15" s="24"/>
      <c r="I15" s="25"/>
      <c r="J15" s="17"/>
    </row>
    <row r="16" spans="2:10" x14ac:dyDescent="0.25">
      <c r="B16" s="21">
        <v>46050</v>
      </c>
      <c r="C16" s="22" t="s">
        <v>22</v>
      </c>
      <c r="D16" s="15"/>
      <c r="E16" s="18">
        <v>9798.31</v>
      </c>
      <c r="F16" s="10"/>
      <c r="G16" s="19"/>
      <c r="H16" s="20"/>
      <c r="I16" s="25"/>
      <c r="J16" s="17"/>
    </row>
    <row r="17" spans="2:10" x14ac:dyDescent="0.25">
      <c r="B17" s="21"/>
      <c r="C17" s="22"/>
      <c r="D17" s="15"/>
      <c r="E17" s="26"/>
      <c r="F17" s="10"/>
      <c r="G17" s="19">
        <v>46035</v>
      </c>
      <c r="H17" s="20" t="s">
        <v>23</v>
      </c>
      <c r="I17" s="27">
        <v>210</v>
      </c>
      <c r="J17" s="17"/>
    </row>
    <row r="18" spans="2:10" x14ac:dyDescent="0.25">
      <c r="B18" s="21">
        <v>46022</v>
      </c>
      <c r="C18" s="22" t="s">
        <v>24</v>
      </c>
      <c r="D18" s="15"/>
      <c r="E18" s="18">
        <v>39989.879999999997</v>
      </c>
      <c r="F18" s="10"/>
      <c r="G18" s="19">
        <v>46049</v>
      </c>
      <c r="H18" s="20" t="s">
        <v>25</v>
      </c>
      <c r="I18" s="27">
        <v>2880</v>
      </c>
      <c r="J18" s="17"/>
    </row>
    <row r="19" spans="2:10" x14ac:dyDescent="0.25">
      <c r="B19" s="21">
        <v>46050</v>
      </c>
      <c r="C19" s="22" t="s">
        <v>26</v>
      </c>
      <c r="D19" s="15"/>
      <c r="E19" s="18">
        <v>44331.17</v>
      </c>
      <c r="F19" s="10"/>
      <c r="G19" s="19">
        <v>46023</v>
      </c>
      <c r="H19" s="20" t="s">
        <v>27</v>
      </c>
      <c r="I19" s="27">
        <v>3559</v>
      </c>
      <c r="J19" s="17"/>
    </row>
    <row r="20" spans="2:10" x14ac:dyDescent="0.25">
      <c r="B20" s="16">
        <v>46051</v>
      </c>
      <c r="C20" s="17" t="s">
        <v>28</v>
      </c>
      <c r="D20" s="15"/>
      <c r="E20" s="18">
        <v>66652.679999999993</v>
      </c>
      <c r="F20" s="10"/>
      <c r="G20" s="19">
        <v>46023</v>
      </c>
      <c r="H20" s="20" t="s">
        <v>29</v>
      </c>
      <c r="I20" s="27">
        <v>3948</v>
      </c>
      <c r="J20" s="17"/>
    </row>
    <row r="21" spans="2:10" x14ac:dyDescent="0.25">
      <c r="B21" s="16">
        <v>46035</v>
      </c>
      <c r="C21" s="17" t="s">
        <v>30</v>
      </c>
      <c r="D21" s="15"/>
      <c r="E21" s="18">
        <v>87152.94</v>
      </c>
      <c r="F21" s="10"/>
      <c r="G21" s="19">
        <v>46026</v>
      </c>
      <c r="H21" s="20" t="s">
        <v>31</v>
      </c>
      <c r="I21" s="27">
        <v>5520</v>
      </c>
      <c r="J21" s="17"/>
    </row>
    <row r="22" spans="2:10" x14ac:dyDescent="0.25">
      <c r="B22" s="16">
        <v>46050</v>
      </c>
      <c r="C22" s="17" t="s">
        <v>32</v>
      </c>
      <c r="D22" s="15"/>
      <c r="E22" s="18">
        <v>140000</v>
      </c>
      <c r="F22" s="10"/>
      <c r="G22" s="19">
        <v>46048</v>
      </c>
      <c r="H22" s="20" t="s">
        <v>33</v>
      </c>
      <c r="I22" s="27">
        <v>8184</v>
      </c>
      <c r="J22" s="17"/>
    </row>
    <row r="23" spans="2:10" x14ac:dyDescent="0.25">
      <c r="B23" s="16">
        <v>46030</v>
      </c>
      <c r="C23" s="17" t="s">
        <v>34</v>
      </c>
      <c r="D23" s="15"/>
      <c r="E23" s="18">
        <v>200000</v>
      </c>
      <c r="F23" s="10"/>
      <c r="G23" s="19">
        <v>46049</v>
      </c>
      <c r="H23" s="20" t="s">
        <v>35</v>
      </c>
      <c r="I23" s="27">
        <v>9120</v>
      </c>
      <c r="J23" s="17"/>
    </row>
    <row r="24" spans="2:10" x14ac:dyDescent="0.25">
      <c r="B24" s="16">
        <v>46029</v>
      </c>
      <c r="C24" s="17" t="s">
        <v>36</v>
      </c>
      <c r="D24" s="15"/>
      <c r="E24" s="18">
        <v>4032000</v>
      </c>
      <c r="F24" s="10"/>
      <c r="G24" s="19">
        <v>46049</v>
      </c>
      <c r="H24" s="20" t="s">
        <v>37</v>
      </c>
      <c r="I24" s="27">
        <v>9684</v>
      </c>
      <c r="J24" s="17"/>
    </row>
    <row r="25" spans="2:10" x14ac:dyDescent="0.25">
      <c r="B25" s="16">
        <v>46045</v>
      </c>
      <c r="C25" s="17" t="s">
        <v>38</v>
      </c>
      <c r="D25" s="15"/>
      <c r="E25" s="18">
        <v>7364000</v>
      </c>
      <c r="F25" s="10"/>
      <c r="G25" s="19">
        <v>46049</v>
      </c>
      <c r="H25" s="20" t="s">
        <v>39</v>
      </c>
      <c r="I25" s="27">
        <v>12364.8</v>
      </c>
      <c r="J25" s="17"/>
    </row>
    <row r="26" spans="2:10" x14ac:dyDescent="0.25">
      <c r="B26" s="16">
        <v>46043</v>
      </c>
      <c r="C26" s="17" t="s">
        <v>40</v>
      </c>
      <c r="D26" s="15"/>
      <c r="E26" s="18">
        <v>23497862.399999999</v>
      </c>
      <c r="F26" s="10"/>
      <c r="G26" s="19">
        <v>46023</v>
      </c>
      <c r="H26" s="20" t="s">
        <v>41</v>
      </c>
      <c r="I26" s="27">
        <v>14004</v>
      </c>
      <c r="J26" s="17"/>
    </row>
    <row r="27" spans="2:10" x14ac:dyDescent="0.25">
      <c r="B27" s="21">
        <v>46030</v>
      </c>
      <c r="C27" s="22" t="s">
        <v>42</v>
      </c>
      <c r="D27" s="18">
        <v>6567000</v>
      </c>
      <c r="E27" s="18"/>
      <c r="F27" s="10"/>
      <c r="G27" s="19">
        <v>46049</v>
      </c>
      <c r="H27" s="20" t="s">
        <v>43</v>
      </c>
      <c r="I27" s="27">
        <v>16155.3</v>
      </c>
      <c r="J27" s="17"/>
    </row>
    <row r="28" spans="2:10" x14ac:dyDescent="0.25">
      <c r="B28" s="21">
        <v>46035</v>
      </c>
      <c r="C28" s="22" t="s">
        <v>44</v>
      </c>
      <c r="D28" s="18">
        <v>4032000</v>
      </c>
      <c r="E28" s="15"/>
      <c r="F28" s="10"/>
      <c r="G28" s="19">
        <v>46023</v>
      </c>
      <c r="H28" s="20" t="s">
        <v>45</v>
      </c>
      <c r="I28" s="27">
        <v>16560</v>
      </c>
      <c r="J28" s="17"/>
    </row>
    <row r="29" spans="2:10" x14ac:dyDescent="0.25">
      <c r="B29" s="21">
        <v>46051</v>
      </c>
      <c r="C29" s="22" t="s">
        <v>46</v>
      </c>
      <c r="D29" s="18">
        <v>1320000</v>
      </c>
      <c r="E29" s="15"/>
      <c r="F29" s="10"/>
      <c r="G29" s="19">
        <v>46049</v>
      </c>
      <c r="H29" s="20" t="s">
        <v>47</v>
      </c>
      <c r="I29" s="27">
        <v>18950.400000000001</v>
      </c>
      <c r="J29" s="17"/>
    </row>
    <row r="30" spans="2:10" x14ac:dyDescent="0.25">
      <c r="B30" s="21">
        <v>46051</v>
      </c>
      <c r="C30" s="22" t="s">
        <v>46</v>
      </c>
      <c r="D30" s="18">
        <v>1320000</v>
      </c>
      <c r="E30" s="15"/>
      <c r="F30" s="10"/>
      <c r="G30" s="19">
        <v>46035</v>
      </c>
      <c r="H30" s="20" t="s">
        <v>48</v>
      </c>
      <c r="I30" s="27">
        <v>19980</v>
      </c>
      <c r="J30" s="17"/>
    </row>
    <row r="31" spans="2:10" x14ac:dyDescent="0.25">
      <c r="B31" s="21">
        <v>46031</v>
      </c>
      <c r="C31" s="22" t="s">
        <v>49</v>
      </c>
      <c r="D31" s="18">
        <v>41600</v>
      </c>
      <c r="E31" s="15"/>
      <c r="F31" s="10"/>
      <c r="G31" s="19">
        <v>46049</v>
      </c>
      <c r="H31" s="20" t="s">
        <v>50</v>
      </c>
      <c r="I31" s="27">
        <v>21996</v>
      </c>
      <c r="J31" s="17"/>
    </row>
    <row r="32" spans="2:10" x14ac:dyDescent="0.25">
      <c r="B32" s="21">
        <v>46041</v>
      </c>
      <c r="C32" s="22" t="s">
        <v>51</v>
      </c>
      <c r="D32" s="18">
        <v>34560</v>
      </c>
      <c r="E32" s="15"/>
      <c r="F32" s="10"/>
      <c r="G32" s="19">
        <v>46048</v>
      </c>
      <c r="H32" s="20" t="s">
        <v>52</v>
      </c>
      <c r="I32" s="27">
        <v>22452</v>
      </c>
      <c r="J32" s="17"/>
    </row>
    <row r="33" spans="2:10" x14ac:dyDescent="0.25">
      <c r="B33" s="21">
        <v>46031</v>
      </c>
      <c r="C33" s="22" t="s">
        <v>53</v>
      </c>
      <c r="D33" s="18">
        <v>30000</v>
      </c>
      <c r="E33" s="15"/>
      <c r="F33" s="10"/>
      <c r="G33" s="19">
        <v>46048</v>
      </c>
      <c r="H33" s="20" t="s">
        <v>54</v>
      </c>
      <c r="I33" s="27">
        <v>29027.64</v>
      </c>
      <c r="J33" s="17"/>
    </row>
    <row r="34" spans="2:10" x14ac:dyDescent="0.25">
      <c r="B34" s="21">
        <v>46041</v>
      </c>
      <c r="C34" s="22" t="s">
        <v>55</v>
      </c>
      <c r="D34" s="18">
        <v>30000</v>
      </c>
      <c r="E34" s="15"/>
      <c r="F34" s="10"/>
      <c r="G34" s="19">
        <v>46049</v>
      </c>
      <c r="H34" s="20" t="s">
        <v>56</v>
      </c>
      <c r="I34" s="27">
        <v>32220</v>
      </c>
      <c r="J34" s="17"/>
    </row>
    <row r="35" spans="2:10" x14ac:dyDescent="0.25">
      <c r="B35" s="21">
        <v>46041</v>
      </c>
      <c r="C35" s="22" t="s">
        <v>57</v>
      </c>
      <c r="D35" s="18">
        <v>20801.080000000002</v>
      </c>
      <c r="E35" s="15"/>
      <c r="F35" s="10"/>
      <c r="G35" s="19">
        <v>46049</v>
      </c>
      <c r="H35" s="20" t="s">
        <v>58</v>
      </c>
      <c r="I35" s="27">
        <v>33595.24</v>
      </c>
      <c r="J35" s="17"/>
    </row>
    <row r="36" spans="2:10" x14ac:dyDescent="0.25">
      <c r="B36" s="21">
        <v>46035</v>
      </c>
      <c r="C36" s="22" t="s">
        <v>59</v>
      </c>
      <c r="D36" s="18">
        <v>18818.18</v>
      </c>
      <c r="E36" s="15"/>
      <c r="F36" s="10"/>
      <c r="G36" s="19">
        <v>46023</v>
      </c>
      <c r="H36" s="20" t="s">
        <v>60</v>
      </c>
      <c r="I36" s="27">
        <v>43450</v>
      </c>
      <c r="J36" s="17"/>
    </row>
    <row r="37" spans="2:10" x14ac:dyDescent="0.25">
      <c r="B37" s="21">
        <v>46041</v>
      </c>
      <c r="C37" s="22" t="s">
        <v>61</v>
      </c>
      <c r="D37" s="18">
        <v>15599.74</v>
      </c>
      <c r="E37" s="15"/>
      <c r="F37" s="10"/>
      <c r="G37" s="19">
        <v>46023</v>
      </c>
      <c r="H37" s="20" t="s">
        <v>62</v>
      </c>
      <c r="I37" s="27">
        <v>65580</v>
      </c>
      <c r="J37" s="17"/>
    </row>
    <row r="38" spans="2:10" x14ac:dyDescent="0.25">
      <c r="B38" s="21">
        <v>46031</v>
      </c>
      <c r="C38" s="22" t="s">
        <v>63</v>
      </c>
      <c r="D38" s="18">
        <v>14472.36</v>
      </c>
      <c r="E38" s="15"/>
      <c r="F38" s="10"/>
      <c r="G38" s="19">
        <v>46049</v>
      </c>
      <c r="H38" s="20" t="s">
        <v>64</v>
      </c>
      <c r="I38" s="27">
        <v>68640</v>
      </c>
      <c r="J38" s="17"/>
    </row>
    <row r="39" spans="2:10" x14ac:dyDescent="0.25">
      <c r="B39" s="21">
        <v>46041</v>
      </c>
      <c r="C39" s="22" t="s">
        <v>65</v>
      </c>
      <c r="D39" s="18">
        <v>13549.8</v>
      </c>
      <c r="E39" s="15"/>
      <c r="F39" s="10"/>
      <c r="G39" s="19">
        <v>46023</v>
      </c>
      <c r="H39" s="20" t="s">
        <v>66</v>
      </c>
      <c r="I39" s="27">
        <v>127818.1</v>
      </c>
      <c r="J39" s="17"/>
    </row>
    <row r="40" spans="2:10" x14ac:dyDescent="0.25">
      <c r="B40" s="21">
        <v>46035</v>
      </c>
      <c r="C40" s="22" t="s">
        <v>67</v>
      </c>
      <c r="D40" s="18">
        <v>11235.34</v>
      </c>
      <c r="E40" s="15"/>
      <c r="F40" s="10"/>
      <c r="G40" s="19">
        <v>46036</v>
      </c>
      <c r="H40" s="20" t="s">
        <v>68</v>
      </c>
      <c r="I40" s="27">
        <v>132016.20000000001</v>
      </c>
      <c r="J40" s="17"/>
    </row>
    <row r="41" spans="2:10" x14ac:dyDescent="0.25">
      <c r="B41" s="21">
        <v>46041</v>
      </c>
      <c r="C41" s="22" t="s">
        <v>69</v>
      </c>
      <c r="D41" s="18">
        <v>6290.54</v>
      </c>
      <c r="E41" s="1"/>
      <c r="F41" s="10"/>
      <c r="G41" s="19">
        <v>46049</v>
      </c>
      <c r="H41" s="20" t="s">
        <v>70</v>
      </c>
      <c r="I41" s="27">
        <v>208740</v>
      </c>
      <c r="J41" s="17"/>
    </row>
    <row r="42" spans="2:10" x14ac:dyDescent="0.25">
      <c r="B42" s="21"/>
      <c r="C42" s="22"/>
      <c r="D42" s="18"/>
      <c r="E42" s="1"/>
      <c r="F42" s="10"/>
      <c r="G42" s="19">
        <v>46030</v>
      </c>
      <c r="H42" s="20" t="s">
        <v>71</v>
      </c>
      <c r="I42" s="27">
        <v>265617.33</v>
      </c>
      <c r="J42" s="17"/>
    </row>
    <row r="43" spans="2:10" x14ac:dyDescent="0.25">
      <c r="B43" s="21">
        <v>46049</v>
      </c>
      <c r="C43" s="22" t="s">
        <v>72</v>
      </c>
      <c r="D43" s="18">
        <v>5504.76</v>
      </c>
      <c r="E43" s="1"/>
      <c r="F43" s="10"/>
      <c r="G43" s="19">
        <v>46043</v>
      </c>
      <c r="H43" s="20" t="s">
        <v>73</v>
      </c>
      <c r="I43" s="27">
        <v>396016</v>
      </c>
      <c r="J43" s="17"/>
    </row>
    <row r="44" spans="2:10" x14ac:dyDescent="0.25">
      <c r="B44" s="21">
        <v>46041</v>
      </c>
      <c r="C44" s="22" t="s">
        <v>74</v>
      </c>
      <c r="D44" s="18">
        <v>5264.76</v>
      </c>
      <c r="E44" s="1"/>
      <c r="F44" s="10"/>
      <c r="G44" s="19">
        <v>46048</v>
      </c>
      <c r="H44" s="20" t="s">
        <v>75</v>
      </c>
      <c r="I44" s="27">
        <v>504000</v>
      </c>
      <c r="J44" s="17"/>
    </row>
    <row r="45" spans="2:10" x14ac:dyDescent="0.25">
      <c r="B45" s="21">
        <v>46035</v>
      </c>
      <c r="C45" s="22" t="s">
        <v>76</v>
      </c>
      <c r="D45" s="18">
        <v>4681.38</v>
      </c>
      <c r="E45" s="1"/>
      <c r="F45" s="10"/>
      <c r="G45" s="19">
        <v>46048</v>
      </c>
      <c r="H45" s="20" t="s">
        <v>77</v>
      </c>
      <c r="I45" s="27">
        <v>521606.68</v>
      </c>
      <c r="J45" s="17"/>
    </row>
    <row r="46" spans="2:10" x14ac:dyDescent="0.25">
      <c r="B46" s="21">
        <v>46041</v>
      </c>
      <c r="C46" s="22" t="s">
        <v>78</v>
      </c>
      <c r="D46" s="18">
        <v>3973</v>
      </c>
      <c r="E46" s="1"/>
      <c r="F46" s="10"/>
      <c r="G46" s="23"/>
      <c r="H46" s="24"/>
      <c r="I46" s="25"/>
      <c r="J46" s="15"/>
    </row>
    <row r="47" spans="2:10" x14ac:dyDescent="0.25">
      <c r="B47" s="21">
        <v>46034</v>
      </c>
      <c r="C47" s="22" t="s">
        <v>79</v>
      </c>
      <c r="D47" s="18">
        <v>3955</v>
      </c>
      <c r="E47" s="1"/>
      <c r="F47" s="10"/>
      <c r="G47" s="23">
        <v>46051</v>
      </c>
      <c r="H47" s="24" t="s">
        <v>80</v>
      </c>
      <c r="I47" s="17"/>
      <c r="J47" s="25">
        <v>3165423.15</v>
      </c>
    </row>
    <row r="48" spans="2:10" x14ac:dyDescent="0.25">
      <c r="B48" s="21">
        <v>46038</v>
      </c>
      <c r="C48" s="22" t="s">
        <v>81</v>
      </c>
      <c r="D48" s="18">
        <v>3943</v>
      </c>
      <c r="E48" s="1"/>
      <c r="F48" s="10"/>
      <c r="G48" s="23">
        <v>46046</v>
      </c>
      <c r="H48" s="24" t="s">
        <v>82</v>
      </c>
      <c r="I48" s="17"/>
      <c r="J48" s="25">
        <v>1620000</v>
      </c>
    </row>
    <row r="49" spans="2:10" x14ac:dyDescent="0.25">
      <c r="B49" s="21">
        <v>46052</v>
      </c>
      <c r="C49" s="22" t="s">
        <v>83</v>
      </c>
      <c r="D49" s="18">
        <v>3804.3</v>
      </c>
      <c r="E49" s="1"/>
      <c r="F49" s="10"/>
      <c r="G49" s="23">
        <v>46052</v>
      </c>
      <c r="H49" s="24" t="s">
        <v>80</v>
      </c>
      <c r="I49" s="17"/>
      <c r="J49" s="25">
        <v>659000</v>
      </c>
    </row>
    <row r="50" spans="2:10" x14ac:dyDescent="0.25">
      <c r="B50" s="21"/>
      <c r="C50" s="22"/>
      <c r="D50" s="18"/>
      <c r="E50" s="1"/>
      <c r="F50" s="10"/>
      <c r="G50" s="23">
        <v>46034</v>
      </c>
      <c r="H50" s="24" t="s">
        <v>80</v>
      </c>
      <c r="I50" s="17"/>
      <c r="J50" s="25">
        <v>35264.76</v>
      </c>
    </row>
    <row r="51" spans="2:10" x14ac:dyDescent="0.25">
      <c r="B51" s="21">
        <v>46050</v>
      </c>
      <c r="C51" s="22" t="s">
        <v>84</v>
      </c>
      <c r="D51" s="18">
        <v>3511</v>
      </c>
      <c r="E51" s="1"/>
      <c r="F51" s="10"/>
      <c r="G51" s="23">
        <v>46029</v>
      </c>
      <c r="H51" s="24" t="s">
        <v>80</v>
      </c>
      <c r="I51" s="17"/>
      <c r="J51" s="25">
        <v>30000</v>
      </c>
    </row>
    <row r="52" spans="2:10" x14ac:dyDescent="0.25">
      <c r="B52" s="21">
        <v>46049</v>
      </c>
      <c r="C52" s="22" t="s">
        <v>85</v>
      </c>
      <c r="D52" s="18">
        <v>3504.5</v>
      </c>
      <c r="E52" s="1"/>
      <c r="F52" s="10"/>
      <c r="G52" s="23"/>
      <c r="H52" s="24"/>
      <c r="I52" s="17"/>
      <c r="J52" s="25"/>
    </row>
    <row r="53" spans="2:10" x14ac:dyDescent="0.25">
      <c r="B53" s="21">
        <v>46035</v>
      </c>
      <c r="C53" s="22" t="s">
        <v>86</v>
      </c>
      <c r="D53" s="18">
        <v>3365</v>
      </c>
      <c r="E53" s="15"/>
      <c r="F53" s="10"/>
      <c r="G53" s="23">
        <v>46031</v>
      </c>
      <c r="H53" s="24" t="s">
        <v>80</v>
      </c>
      <c r="I53" s="17"/>
      <c r="J53" s="25">
        <v>4681.38</v>
      </c>
    </row>
    <row r="54" spans="2:10" x14ac:dyDescent="0.25">
      <c r="B54" s="21">
        <v>46031</v>
      </c>
      <c r="C54" s="22" t="s">
        <v>84</v>
      </c>
      <c r="D54" s="18">
        <v>3264.5</v>
      </c>
      <c r="E54" s="15"/>
      <c r="F54" s="10"/>
      <c r="G54" s="23">
        <v>46031</v>
      </c>
      <c r="H54" s="24" t="s">
        <v>87</v>
      </c>
      <c r="I54" s="17"/>
      <c r="J54" s="25">
        <v>3957.3</v>
      </c>
    </row>
    <row r="55" spans="2:10" x14ac:dyDescent="0.25">
      <c r="B55" s="21">
        <v>46045</v>
      </c>
      <c r="C55" s="22" t="s">
        <v>81</v>
      </c>
      <c r="D55" s="18">
        <v>3264.5</v>
      </c>
      <c r="E55" s="15"/>
      <c r="F55" s="10"/>
      <c r="G55" s="23">
        <v>46041</v>
      </c>
      <c r="H55" s="24" t="s">
        <v>88</v>
      </c>
      <c r="I55" s="17"/>
      <c r="J55" s="25">
        <v>2226.46</v>
      </c>
    </row>
    <row r="56" spans="2:10" x14ac:dyDescent="0.25">
      <c r="B56" s="21">
        <v>46041</v>
      </c>
      <c r="C56" s="22" t="s">
        <v>89</v>
      </c>
      <c r="D56" s="18">
        <v>3225.92</v>
      </c>
      <c r="E56" s="15"/>
      <c r="F56" s="10"/>
      <c r="G56" s="17"/>
      <c r="H56" s="17"/>
      <c r="I56" s="17"/>
      <c r="J56" s="17"/>
    </row>
    <row r="57" spans="2:10" x14ac:dyDescent="0.25">
      <c r="B57" s="21">
        <v>46041</v>
      </c>
      <c r="C57" s="22" t="s">
        <v>90</v>
      </c>
      <c r="D57" s="18">
        <v>3067.2</v>
      </c>
      <c r="E57" s="15"/>
      <c r="F57" s="10"/>
      <c r="G57" s="28"/>
      <c r="H57" s="28"/>
      <c r="I57" s="15"/>
      <c r="J57" s="15"/>
    </row>
    <row r="58" spans="2:10" x14ac:dyDescent="0.25">
      <c r="B58" s="21">
        <v>46041</v>
      </c>
      <c r="C58" s="22" t="s">
        <v>91</v>
      </c>
      <c r="D58" s="18">
        <v>3067.2</v>
      </c>
      <c r="E58" s="15"/>
      <c r="F58" s="10"/>
      <c r="G58" s="28"/>
      <c r="H58" s="28"/>
      <c r="I58" s="15"/>
      <c r="J58" s="15"/>
    </row>
    <row r="59" spans="2:10" x14ac:dyDescent="0.25">
      <c r="B59" s="21">
        <v>46051</v>
      </c>
      <c r="C59" s="22" t="s">
        <v>79</v>
      </c>
      <c r="D59" s="18">
        <v>1750</v>
      </c>
      <c r="E59" s="15"/>
      <c r="F59" s="10"/>
      <c r="G59" s="28"/>
      <c r="H59" s="28"/>
      <c r="I59" s="15"/>
      <c r="J59" s="15"/>
    </row>
    <row r="60" spans="2:10" x14ac:dyDescent="0.25">
      <c r="B60" s="21">
        <v>46031</v>
      </c>
      <c r="C60" s="22" t="s">
        <v>84</v>
      </c>
      <c r="D60" s="18">
        <v>1056</v>
      </c>
      <c r="E60" s="15"/>
      <c r="F60" s="10"/>
      <c r="G60" s="28"/>
      <c r="H60" s="28"/>
      <c r="I60" s="15"/>
      <c r="J60" s="15"/>
    </row>
    <row r="61" spans="2:10" x14ac:dyDescent="0.25">
      <c r="B61" s="21">
        <v>46041</v>
      </c>
      <c r="C61" s="22" t="s">
        <v>92</v>
      </c>
      <c r="D61" s="18">
        <v>1051.2</v>
      </c>
      <c r="E61" s="15"/>
      <c r="F61" s="10"/>
      <c r="G61" s="28"/>
      <c r="H61" s="28"/>
      <c r="I61" s="15"/>
      <c r="J61" s="15"/>
    </row>
    <row r="62" spans="2:10" x14ac:dyDescent="0.25">
      <c r="B62" s="21">
        <v>46043</v>
      </c>
      <c r="C62" s="22" t="s">
        <v>84</v>
      </c>
      <c r="D62" s="18">
        <v>855</v>
      </c>
      <c r="E62" s="15"/>
      <c r="F62" s="10"/>
      <c r="G62" s="28"/>
      <c r="H62" s="28"/>
      <c r="I62" s="15"/>
      <c r="J62" s="15"/>
    </row>
    <row r="63" spans="2:10" x14ac:dyDescent="0.25">
      <c r="B63" s="29">
        <v>46035</v>
      </c>
      <c r="C63" s="30" t="s">
        <v>93</v>
      </c>
      <c r="D63" s="31">
        <v>806.02</v>
      </c>
      <c r="E63" s="32"/>
      <c r="F63" s="10"/>
      <c r="G63" s="33"/>
      <c r="H63" s="33"/>
      <c r="I63" s="32"/>
      <c r="J63" s="32"/>
    </row>
    <row r="64" spans="2:10" x14ac:dyDescent="0.25">
      <c r="B64" s="17"/>
      <c r="C64" s="17"/>
      <c r="D64" s="17"/>
      <c r="E64" s="15"/>
      <c r="F64" s="10"/>
      <c r="G64" s="28"/>
      <c r="H64" s="28"/>
      <c r="I64" s="15"/>
      <c r="J64" s="15"/>
    </row>
    <row r="65" spans="2:10" x14ac:dyDescent="0.25">
      <c r="B65" s="17"/>
      <c r="C65" s="17"/>
      <c r="D65" s="17"/>
      <c r="E65" s="15"/>
      <c r="F65" s="10"/>
      <c r="G65" s="28"/>
      <c r="H65" s="28"/>
      <c r="I65" s="15"/>
      <c r="J65" s="15"/>
    </row>
    <row r="66" spans="2:10" x14ac:dyDescent="0.25">
      <c r="B66" s="17"/>
      <c r="C66" s="17"/>
      <c r="D66" s="17"/>
      <c r="E66" s="15"/>
      <c r="F66" s="10"/>
      <c r="G66" s="28"/>
      <c r="H66" s="28"/>
      <c r="I66" s="15"/>
      <c r="J66" s="15"/>
    </row>
    <row r="67" spans="2:10" x14ac:dyDescent="0.25">
      <c r="B67" s="17"/>
      <c r="C67" s="17"/>
      <c r="D67" s="17"/>
      <c r="E67" s="15"/>
      <c r="F67" s="10"/>
      <c r="G67" s="28"/>
      <c r="H67" s="28"/>
      <c r="I67" s="15"/>
      <c r="J67" s="15"/>
    </row>
    <row r="68" spans="2:10" x14ac:dyDescent="0.25">
      <c r="B68" s="17"/>
      <c r="C68" s="17"/>
      <c r="D68" s="17"/>
      <c r="E68" s="15"/>
      <c r="F68" s="10"/>
      <c r="G68" s="28"/>
      <c r="H68" s="28"/>
      <c r="I68" s="15"/>
      <c r="J68" s="15"/>
    </row>
    <row r="69" spans="2:10" x14ac:dyDescent="0.25">
      <c r="B69" s="17"/>
      <c r="C69" s="17"/>
      <c r="D69" s="17"/>
      <c r="E69" s="15"/>
      <c r="F69" s="10"/>
      <c r="G69" s="28"/>
      <c r="H69" s="28"/>
      <c r="I69" s="15"/>
      <c r="J69" s="15"/>
    </row>
    <row r="70" spans="2:10" x14ac:dyDescent="0.25">
      <c r="B70" s="17"/>
      <c r="C70" s="17"/>
      <c r="D70" s="17"/>
      <c r="E70" s="15"/>
      <c r="F70" s="10"/>
      <c r="G70" s="28"/>
      <c r="H70" s="28"/>
      <c r="I70" s="15"/>
      <c r="J70" s="15"/>
    </row>
    <row r="71" spans="2:10" x14ac:dyDescent="0.25">
      <c r="B71" s="17"/>
      <c r="C71" s="17"/>
      <c r="D71" s="17"/>
      <c r="E71" s="15"/>
      <c r="F71" s="10"/>
      <c r="G71" s="28"/>
      <c r="H71" s="28"/>
      <c r="I71" s="15"/>
      <c r="J71" s="15"/>
    </row>
    <row r="72" spans="2:10" x14ac:dyDescent="0.25">
      <c r="B72" s="17"/>
      <c r="C72" s="17"/>
      <c r="D72" s="17"/>
      <c r="E72" s="15"/>
      <c r="F72" s="10"/>
      <c r="G72" s="28"/>
      <c r="H72" s="28"/>
      <c r="I72" s="15"/>
      <c r="J72" s="15"/>
    </row>
    <row r="73" spans="2:10" x14ac:dyDescent="0.25">
      <c r="B73" s="17"/>
      <c r="C73" s="17"/>
      <c r="D73" s="17"/>
      <c r="E73" s="15"/>
      <c r="F73" s="10"/>
      <c r="G73" s="28"/>
      <c r="H73" s="28"/>
      <c r="I73" s="15"/>
      <c r="J73" s="15"/>
    </row>
    <row r="74" spans="2:10" x14ac:dyDescent="0.25">
      <c r="B74" s="17"/>
      <c r="C74" s="17"/>
      <c r="D74" s="17"/>
      <c r="E74" s="15"/>
      <c r="F74" s="10"/>
      <c r="G74" s="28"/>
      <c r="H74" s="28"/>
      <c r="I74" s="15"/>
      <c r="J74" s="15"/>
    </row>
    <row r="75" spans="2:10" x14ac:dyDescent="0.25">
      <c r="B75" s="17"/>
      <c r="C75" s="17"/>
      <c r="D75" s="17"/>
      <c r="E75" s="15"/>
      <c r="F75" s="10"/>
      <c r="G75" s="28"/>
      <c r="H75" s="28"/>
      <c r="I75" s="15"/>
      <c r="J75" s="15"/>
    </row>
    <row r="76" spans="2:10" x14ac:dyDescent="0.25">
      <c r="B76" s="17"/>
      <c r="C76" s="17"/>
      <c r="D76" s="17"/>
      <c r="E76" s="15"/>
      <c r="F76" s="10"/>
      <c r="G76" s="28"/>
      <c r="H76" s="28"/>
      <c r="I76" s="15"/>
      <c r="J76" s="15"/>
    </row>
    <row r="77" spans="2:10" x14ac:dyDescent="0.25">
      <c r="B77" s="17"/>
      <c r="C77" s="17"/>
      <c r="D77" s="17"/>
      <c r="E77" s="15"/>
      <c r="F77" s="10"/>
      <c r="G77" s="28"/>
      <c r="H77" s="28"/>
      <c r="I77" s="15"/>
      <c r="J77" s="15"/>
    </row>
    <row r="78" spans="2:10" x14ac:dyDescent="0.25">
      <c r="B78" s="17"/>
      <c r="C78" s="17"/>
      <c r="D78" s="17"/>
      <c r="E78" s="15"/>
      <c r="F78" s="10"/>
      <c r="G78" s="28"/>
      <c r="H78" s="28"/>
      <c r="I78" s="15"/>
      <c r="J78" s="15"/>
    </row>
    <row r="79" spans="2:10" x14ac:dyDescent="0.25">
      <c r="B79" s="17"/>
      <c r="C79" s="17"/>
      <c r="D79" s="17"/>
      <c r="E79" s="15"/>
      <c r="F79" s="10"/>
      <c r="G79" s="28"/>
      <c r="H79" s="28"/>
      <c r="I79" s="15"/>
      <c r="J79" s="15"/>
    </row>
    <row r="80" spans="2:10" x14ac:dyDescent="0.25">
      <c r="B80" s="17"/>
      <c r="C80" s="17"/>
      <c r="D80" s="17"/>
      <c r="E80" s="15"/>
      <c r="F80" s="10"/>
      <c r="G80" s="28"/>
      <c r="H80" s="28"/>
      <c r="I80" s="15"/>
      <c r="J80" s="15"/>
    </row>
    <row r="81" spans="2:10" x14ac:dyDescent="0.25">
      <c r="B81" s="34"/>
      <c r="C81" s="35"/>
      <c r="D81" s="36"/>
      <c r="E81" s="36"/>
      <c r="F81" s="10"/>
      <c r="G81" s="37"/>
      <c r="H81" s="37"/>
      <c r="I81" s="36"/>
      <c r="J81" s="36"/>
    </row>
    <row r="82" spans="2:10" x14ac:dyDescent="0.25">
      <c r="B82" s="38"/>
      <c r="C82" s="12"/>
      <c r="D82" s="15"/>
      <c r="E82" s="15"/>
      <c r="F82" s="10"/>
      <c r="G82" s="28"/>
      <c r="H82" s="28"/>
      <c r="I82" s="15"/>
      <c r="J82" s="15"/>
    </row>
    <row r="83" spans="2:10" x14ac:dyDescent="0.25">
      <c r="B83" s="12"/>
      <c r="C83" s="39" t="s">
        <v>94</v>
      </c>
      <c r="D83" s="13">
        <f>SUM(D7:D82)</f>
        <v>42322614.750000007</v>
      </c>
      <c r="E83" s="13">
        <f>SUM(E7:E82)</f>
        <v>35506899.989999995</v>
      </c>
      <c r="F83" s="10"/>
      <c r="G83" s="13"/>
      <c r="H83" s="28" t="s">
        <v>95</v>
      </c>
      <c r="I83" s="13">
        <f>SUM(I7:I82)</f>
        <v>4846960.42</v>
      </c>
      <c r="J83" s="13">
        <f>SUM(J7:J82)</f>
        <v>11662675.180000002</v>
      </c>
    </row>
    <row r="84" spans="2:10" x14ac:dyDescent="0.25">
      <c r="B84" s="12"/>
      <c r="C84" s="39" t="s">
        <v>96</v>
      </c>
      <c r="D84" s="15">
        <f>D83-E83</f>
        <v>6815714.7600000128</v>
      </c>
      <c r="E84" s="17"/>
      <c r="F84" s="10"/>
      <c r="G84" s="13"/>
      <c r="H84" s="28" t="s">
        <v>96</v>
      </c>
      <c r="I84" s="15">
        <f>J83-I83</f>
        <v>6815714.7600000016</v>
      </c>
      <c r="J84" s="13"/>
    </row>
    <row r="85" spans="2:10" x14ac:dyDescent="0.25">
      <c r="B85" s="40"/>
      <c r="C85" s="40"/>
      <c r="D85" s="40"/>
      <c r="E85" s="40"/>
      <c r="F85" s="40"/>
      <c r="G85" s="41">
        <f>D84-I84</f>
        <v>1.1175870895385742E-8</v>
      </c>
      <c r="H85" s="40"/>
      <c r="I85" s="40"/>
      <c r="J85" s="40"/>
    </row>
  </sheetData>
  <mergeCells count="6">
    <mergeCell ref="E2:G2"/>
    <mergeCell ref="B5:E5"/>
    <mergeCell ref="F5:F84"/>
    <mergeCell ref="G5:J5"/>
    <mergeCell ref="B7:C7"/>
    <mergeCell ref="G7:H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EL ISSAOUI</dc:creator>
  <cp:lastModifiedBy>Doha EL ISSAOUI</cp:lastModifiedBy>
  <dcterms:created xsi:type="dcterms:W3CDTF">2026-05-07T07:44:45Z</dcterms:created>
  <dcterms:modified xsi:type="dcterms:W3CDTF">2026-05-07T07:46:41Z</dcterms:modified>
</cp:coreProperties>
</file>